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J프레시웨이 단가협상표 (최종)" state="visible" r:id="rId4"/>
  </sheets>
  <calcPr calcId="171027"/>
</workbook>
</file>

<file path=xl/sharedStrings.xml><?xml version="1.0" encoding="utf-8"?>
<sst xmlns="http://schemas.openxmlformats.org/spreadsheetml/2006/main" count="25" uniqueCount="25">
  <si>
    <t>구분</t>
  </si>
  <si>
    <t>금액 (원)</t>
  </si>
  <si>
    <t>비율 (%)</t>
  </si>
  <si>
    <t>산출 근거 및 설득 포인트 (MD 압박용)</t>
  </si>
  <si>
    <t>쿠팡 소비자 판매가 (온라인 최저가)</t>
  </si>
  <si>
    <t>100%</t>
  </si>
  <si>
    <t>해천 굴소스 620g * 3묶음 기준 (시장 최저가 방어 필수)</t>
  </si>
  <si>
    <t>(-) 쿠팡 로켓배송 직매입 영업마진</t>
  </si>
  <si>
    <t>25%</t>
  </si>
  <si>
    <t>로켓배송(1P) 입점 확정 및 발주 유도를 위해 쿠팡에 무조건 떼어줘야 하는 고정 마진 (타협 불가)</t>
  </si>
  <si>
    <t>(=) 쿠팡 직납(매입) 정산 단가</t>
  </si>
  <si>
    <t>75%</t>
  </si>
  <si>
    <t>쿠팡이 당사(IB F&amp;B)로 지급하는 실제 정산 금액 (당사 매출)</t>
  </si>
  <si>
    <t>(-) IB F&amp;B 로켓배송 제반비용</t>
  </si>
  <si>
    <t>10%</t>
  </si>
  <si>
    <t>쿠팡 밀크런 물류비, 성장장려금, 키워드 광고비, 반품/폐기 리스크 충당금 (고정비)</t>
  </si>
  <si>
    <t>(-) IB F&amp;B 벤더사 영업마진</t>
  </si>
  <si>
    <t>15%</t>
  </si>
  <si>
    <t>당사 벤더 사업 유지를 위한 최소 목표 마진 (하한선)</t>
  </si>
  <si>
    <t>(=) CJ프레시웨이 3개 세트 총 목표 공급가</t>
  </si>
  <si>
    <t>50%</t>
  </si>
  <si>
    <t>★ 쿠팡 압도적 물량 발주를 조건으로 CJ프레시웨이가 맞춰주셔야 할 타겟 단가 (마지노선)</t>
  </si>
  <si>
    <t>(=) 개당 최대 목표 공급가 (CJ프레시웨이)</t>
  </si>
  <si>
    <t>-</t>
  </si>
  <si>
    <t>👉 결론: 개당 2,320원 이하로 맞춰주지 않으면 쿠팡 로켓배송 납품 불가능 (단가 인하 강력 압박)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</si>
</sst>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75623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2" customWidth="1"/>
    <col min="2" max="2" width="18" customWidth="1"/>
    <col min="3" max="3" width="12" customWidth="1"/>
    <col min="4" max="4" width="8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5" customHeight="1" spans="1:4" x14ac:dyDescent="0.25">
      <c r="A2" s="2" t="s">
        <v>4</v>
      </c>
      <c r="B2" s="3">
        <v>13920</v>
      </c>
      <c r="C2" s="4" t="s">
        <v>5</v>
      </c>
      <c r="D2" s="5" t="s">
        <v>6</v>
      </c>
    </row>
    <row r="3" ht="35" customHeight="1" spans="1:4" x14ac:dyDescent="0.25">
      <c r="A3" s="4" t="s">
        <v>7</v>
      </c>
      <c r="B3" s="3">
        <f>ROUND(B2*0.25, 0)</f>
      </c>
      <c r="C3" s="4" t="s">
        <v>8</v>
      </c>
      <c r="D3" s="5" t="s">
        <v>9</v>
      </c>
    </row>
    <row r="4" ht="35" customHeight="1" spans="1:4" x14ac:dyDescent="0.25">
      <c r="A4" s="6" t="s">
        <v>10</v>
      </c>
      <c r="B4" s="7">
        <f>B2-B3</f>
      </c>
      <c r="C4" s="6" t="s">
        <v>11</v>
      </c>
      <c r="D4" s="8" t="s">
        <v>12</v>
      </c>
    </row>
    <row r="5" ht="35" customHeight="1" spans="1:4" x14ac:dyDescent="0.25">
      <c r="A5" s="4" t="s">
        <v>13</v>
      </c>
      <c r="B5" s="3">
        <f>ROUND(B2*0.1, 0)</f>
      </c>
      <c r="C5" s="4" t="s">
        <v>14</v>
      </c>
      <c r="D5" s="5" t="s">
        <v>15</v>
      </c>
    </row>
    <row r="6" ht="35" customHeight="1" spans="1:4" x14ac:dyDescent="0.25">
      <c r="A6" s="4" t="s">
        <v>16</v>
      </c>
      <c r="B6" s="3">
        <f>ROUND(B2*0.15, 0)</f>
      </c>
      <c r="C6" s="4" t="s">
        <v>17</v>
      </c>
      <c r="D6" s="5" t="s">
        <v>18</v>
      </c>
    </row>
    <row r="7" ht="35" customHeight="1" spans="1:4" x14ac:dyDescent="0.25">
      <c r="A7" s="9" t="s">
        <v>19</v>
      </c>
      <c r="B7" s="10">
        <f>B4-B5-B6</f>
      </c>
      <c r="C7" s="9" t="s">
        <v>20</v>
      </c>
      <c r="D7" s="11" t="s">
        <v>21</v>
      </c>
    </row>
    <row r="8" ht="35" customHeight="1" spans="1:4" x14ac:dyDescent="0.25">
      <c r="A8" s="12" t="s">
        <v>22</v>
      </c>
      <c r="B8" s="13">
        <f>ROUND(B7/3, 0)</f>
      </c>
      <c r="C8" s="12" t="s">
        <v>23</v>
      </c>
      <c r="D8" s="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CJ프레시웨이 단가협상표 (최종)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2026-07-07T06:20:42Z</dcterms:created>
  <dcterms:modified xsi:type="dcterms:W3CDTF">2026-07-07T06:20:42Z</dcterms:modified>
</cp:coreProperties>
</file>