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진계산기" state="visible" r:id="rId4"/>
  </sheets>
  <calcPr calcId="171027"/>
</workbook>
</file>

<file path=xl/sharedStrings.xml><?xml version="1.0" encoding="utf-8"?>
<sst xmlns="http://schemas.openxmlformats.org/spreadsheetml/2006/main" count="31" uniqueCount="24">
  <si>
    <t>구분</t>
  </si>
  <si>
    <t>금액</t>
  </si>
  <si>
    <t>산출근거</t>
  </si>
  <si>
    <t>비고</t>
  </si>
  <si>
    <t>소비자 판매가</t>
  </si>
  <si>
    <t>온라인 최저가 고정</t>
  </si>
  <si>
    <t>620g*3묶음</t>
  </si>
  <si>
    <t>쿠팡 카테고리 수수료(11.99%)</t>
  </si>
  <si>
    <t>소비자 판매가 X 11.99%</t>
  </si>
  <si>
    <t/>
  </si>
  <si>
    <t>로켓그로스 물류 고정비</t>
  </si>
  <si>
    <t>입고 + 출고 + 배송(소형 기준 합산)</t>
  </si>
  <si>
    <t>쿠팡 판매 광고비(11%)</t>
  </si>
  <si>
    <t>최저가 노출 및 매출 유지를 위한 최소 광고비</t>
  </si>
  <si>
    <t>물류 센터 보관료 및 리스트 비용(4%)</t>
  </si>
  <si>
    <t>반품 처리, 유통기한/재고 파손, 라벨비 작업비</t>
  </si>
  <si>
    <t>쿠팡 공제 후 최종 정산금액</t>
  </si>
  <si>
    <t>2-(3+4+5+6)</t>
  </si>
  <si>
    <t>아이비 마진(25%)</t>
  </si>
  <si>
    <t>사업 유지를 위한 최소 마진(목표치)</t>
  </si>
  <si>
    <t>3개 세트 총 목표 원가</t>
  </si>
  <si>
    <t>7-8</t>
  </si>
  <si>
    <t>개당 최대 목표 공급가</t>
  </si>
  <si>
    <t>9/3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</si>
</sst>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375623"/>
    </font>
    <font>
      <b/>
      <color rgb="FF375623"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0" customWidth="1"/>
    <col min="2" max="2" width="15" customWidth="1"/>
    <col min="3" max="3" width="5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13920</v>
      </c>
      <c r="C2" s="2" t="s">
        <v>5</v>
      </c>
      <c r="D2" s="4" t="s">
        <v>6</v>
      </c>
    </row>
    <row r="3" spans="1:4" x14ac:dyDescent="0.25">
      <c r="A3" s="4" t="s">
        <v>7</v>
      </c>
      <c r="B3" s="5">
        <f>ROUND(B2*0.1199, 0)</f>
      </c>
      <c r="C3" s="4" t="s">
        <v>8</v>
      </c>
      <c r="D3" s="4" t="s">
        <v>9</v>
      </c>
    </row>
    <row r="4" spans="1:4" x14ac:dyDescent="0.25">
      <c r="A4" s="4" t="s">
        <v>10</v>
      </c>
      <c r="B4" s="5">
        <v>2420</v>
      </c>
      <c r="C4" s="4" t="s">
        <v>11</v>
      </c>
      <c r="D4" s="4" t="s">
        <v>9</v>
      </c>
    </row>
    <row r="5" spans="1:4" x14ac:dyDescent="0.25">
      <c r="A5" s="4" t="s">
        <v>12</v>
      </c>
      <c r="B5" s="5">
        <f>ROUND(B2*0.11, 0)</f>
      </c>
      <c r="C5" s="4" t="s">
        <v>13</v>
      </c>
      <c r="D5" s="4" t="s">
        <v>9</v>
      </c>
    </row>
    <row r="6" spans="1:4" x14ac:dyDescent="0.25">
      <c r="A6" s="4" t="s">
        <v>14</v>
      </c>
      <c r="B6" s="5">
        <f>ROUND(B2*0.04, 0)</f>
      </c>
      <c r="C6" s="4" t="s">
        <v>15</v>
      </c>
      <c r="D6" s="4" t="s">
        <v>9</v>
      </c>
    </row>
    <row r="7" spans="1:4" x14ac:dyDescent="0.25">
      <c r="A7" s="6" t="s">
        <v>16</v>
      </c>
      <c r="B7" s="7">
        <f>B2-SUM(B3:B6)</f>
      </c>
      <c r="C7" s="6" t="s">
        <v>17</v>
      </c>
      <c r="D7" s="4" t="s">
        <v>9</v>
      </c>
    </row>
    <row r="8" spans="1:4" x14ac:dyDescent="0.25">
      <c r="A8" s="8" t="s">
        <v>18</v>
      </c>
      <c r="B8" s="9">
        <f>ROUND(B2*0.25, 0)</f>
      </c>
      <c r="C8" s="8" t="s">
        <v>19</v>
      </c>
      <c r="D8" s="4" t="s">
        <v>9</v>
      </c>
    </row>
    <row r="9" spans="1:4" x14ac:dyDescent="0.25">
      <c r="A9" s="4" t="s">
        <v>20</v>
      </c>
      <c r="B9" s="5">
        <f>B7-B8</f>
      </c>
      <c r="C9" s="4" t="s">
        <v>21</v>
      </c>
      <c r="D9" s="4" t="s">
        <v>9</v>
      </c>
    </row>
    <row r="10" spans="1:4" x14ac:dyDescent="0.25">
      <c r="A10" s="8" t="s">
        <v>22</v>
      </c>
      <c r="B10" s="9">
        <f>ROUND(B9/3, 0)</f>
      </c>
      <c r="C10" s="8" t="s">
        <v>23</v>
      </c>
      <c r="D10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마진계산기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2026-07-07T01:10:16Z</dcterms:created>
  <dcterms:modified xsi:type="dcterms:W3CDTF">2026-07-07T01:10:16Z</dcterms:modified>
</cp:coreProperties>
</file>