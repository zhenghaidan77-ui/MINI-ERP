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J프레시웨이 제안 단가표" state="visible" r:id="rId4"/>
  </sheets>
  <calcPr calcId="171027"/>
</workbook>
</file>

<file path=xl/sharedStrings.xml><?xml version="1.0" encoding="utf-8"?>
<sst xmlns="http://schemas.openxmlformats.org/spreadsheetml/2006/main" count="25" uniqueCount="25">
  <si>
    <t>구분</t>
  </si>
  <si>
    <t>금액 (원)</t>
  </si>
  <si>
    <t>산출 근거 및 설득 포인트</t>
  </si>
  <si>
    <t>비고</t>
  </si>
  <si>
    <t>쿠팡 소비자 판매가 (온라인 최저가)</t>
  </si>
  <si>
    <t>해천 굴소스 620g * 3묶음 기준</t>
  </si>
  <si>
    <t/>
  </si>
  <si>
    <t>쿠팡 로켓배송 직매입 영업마진 (25%)</t>
  </si>
  <si>
    <t>로켓배송(1P) 입점 확정 및 상위 노출을 위해 쿠팡에 반드시 떼어줘야 할 고정 마진</t>
  </si>
  <si>
    <t>쿠팡 수익</t>
  </si>
  <si>
    <t>쿠팡 직납(매입) 정산 단가</t>
  </si>
  <si>
    <t>쿠팡이 당사(IB F&amp;B)로 지급하는 실제 정산 금액 (판매가 - 쿠팡마진)</t>
  </si>
  <si>
    <t>당사 매출</t>
  </si>
  <si>
    <t>IB F&amp;B 로켓배송 제반비용 (10%)</t>
  </si>
  <si>
    <t>쿠팡 밀크런 물류비, 필수 키워드 광고비, 반품/폐기 등 숨은 리스크 충당금</t>
  </si>
  <si>
    <t>고정비</t>
  </si>
  <si>
    <t>IB F&amp;B 벤더사 영업마진 (15%)</t>
  </si>
  <si>
    <t>중간 벤더사(당사) 사업 유지를 위한 최소 목표 마진</t>
  </si>
  <si>
    <t>당사 수익</t>
  </si>
  <si>
    <t>CJ프레시웨이 3개 세트 총 목표 공급가</t>
  </si>
  <si>
    <t>쿠팡 압도적 물량 발주를 조건으로 CJ프레시웨이가 맞춰주셔야 할 타겟 단가</t>
  </si>
  <si>
    <t>협상가</t>
  </si>
  <si>
    <t>개당 최대 목표 공급가 (CJ프레시웨이)</t>
  </si>
  <si>
    <t>기존 WING 판매 시점보다 높은 물량 개런티를 무기로 단가 인하 압박</t>
  </si>
  <si>
    <t>개당 단가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</si>
</sst>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FF375623"/>
    </font>
    <font>
      <b/>
      <color rgb="FFFF0000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40" customWidth="1"/>
    <col min="2" max="2" width="15" customWidth="1"/>
    <col min="3" max="3" width="65" customWidth="1"/>
    <col min="4" max="4" width="1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25" customHeight="1" spans="1:4" x14ac:dyDescent="0.25">
      <c r="A2" s="2" t="s">
        <v>4</v>
      </c>
      <c r="B2" s="3">
        <v>13920</v>
      </c>
      <c r="C2" s="4" t="s">
        <v>5</v>
      </c>
      <c r="D2" s="5" t="s">
        <v>6</v>
      </c>
    </row>
    <row r="3" ht="25" customHeight="1" spans="1:4" x14ac:dyDescent="0.25">
      <c r="A3" s="5" t="s">
        <v>7</v>
      </c>
      <c r="B3" s="3">
        <f>ROUND(B2*0.25, 0)</f>
      </c>
      <c r="C3" s="4" t="s">
        <v>8</v>
      </c>
      <c r="D3" s="5" t="s">
        <v>9</v>
      </c>
    </row>
    <row r="4" ht="25" customHeight="1" spans="1:4" x14ac:dyDescent="0.25">
      <c r="A4" s="6" t="s">
        <v>10</v>
      </c>
      <c r="B4" s="3">
        <f>B2-B3</f>
      </c>
      <c r="C4" s="4" t="s">
        <v>11</v>
      </c>
      <c r="D4" s="5" t="s">
        <v>12</v>
      </c>
    </row>
    <row r="5" ht="25" customHeight="1" spans="1:4" x14ac:dyDescent="0.25">
      <c r="A5" s="5" t="s">
        <v>13</v>
      </c>
      <c r="B5" s="3">
        <f>ROUND(B2*0.1, 0)</f>
      </c>
      <c r="C5" s="4" t="s">
        <v>14</v>
      </c>
      <c r="D5" s="5" t="s">
        <v>15</v>
      </c>
    </row>
    <row r="6" ht="25" customHeight="1" spans="1:4" x14ac:dyDescent="0.25">
      <c r="A6" s="5" t="s">
        <v>16</v>
      </c>
      <c r="B6" s="3">
        <f>ROUND(B2*0.15, 0)</f>
      </c>
      <c r="C6" s="4" t="s">
        <v>17</v>
      </c>
      <c r="D6" s="5" t="s">
        <v>18</v>
      </c>
    </row>
    <row r="7" ht="25" customHeight="1" spans="1:4" x14ac:dyDescent="0.25">
      <c r="A7" s="7" t="s">
        <v>19</v>
      </c>
      <c r="B7" s="8">
        <f>B4-B5-B6</f>
      </c>
      <c r="C7" s="9" t="s">
        <v>20</v>
      </c>
      <c r="D7" s="7" t="s">
        <v>21</v>
      </c>
    </row>
    <row r="8" ht="25" customHeight="1" spans="1:4" x14ac:dyDescent="0.25">
      <c r="A8" s="7" t="s">
        <v>22</v>
      </c>
      <c r="B8" s="8">
        <f>ROUND(B7/3, 0)</f>
      </c>
      <c r="C8" s="9" t="s">
        <v>23</v>
      </c>
      <c r="D8" s="7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CJ프레시웨이 제안 단가표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2026-07-07T06:17:33Z</dcterms:created>
  <dcterms:modified xsi:type="dcterms:W3CDTF">2026-07-07T06:17:33Z</dcterms:modified>
</cp:coreProperties>
</file>